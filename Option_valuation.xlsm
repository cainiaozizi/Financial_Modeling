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jazzi\Documents\OMSA\MGT8813 - Financial Modeling\"/>
    </mc:Choice>
  </mc:AlternateContent>
  <xr:revisionPtr revIDLastSave="0" documentId="13_ncr:1_{DEB2DCA2-E6A3-4BEE-9DC4-A8584394910B}" xr6:coauthVersionLast="46" xr6:coauthVersionMax="46" xr10:uidLastSave="{00000000-0000-0000-0000-000000000000}"/>
  <bookViews>
    <workbookView xWindow="3492" yWindow="2724" windowWidth="17280" windowHeight="8976" activeTab="1" xr2:uid="{00000000-000D-0000-FFFF-FFFF00000000}"/>
  </bookViews>
  <sheets>
    <sheet name="Information" sheetId="2" r:id="rId1"/>
    <sheet name="Option_Pricing" sheetId="8" r:id="rId2"/>
    <sheet name="Announcement" sheetId="1" state="veryHidden" r:id="rId3"/>
    <sheet name="LogRecord" sheetId="3" state="veryHidden" r:id="rId4"/>
  </sheets>
  <definedNames>
    <definedName name="solver_adj" localSheetId="1" hidden="1">Option_Pricing!$B$7</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Option_Pricing!$B$18</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3.6</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 i="8" l="1"/>
  <c r="H5" i="8" s="1"/>
  <c r="B6" i="8" s="1"/>
  <c r="B10" i="8" s="1"/>
  <c r="B14" i="8" s="1"/>
  <c r="B11" i="8" l="1"/>
  <c r="B12" i="8"/>
  <c r="B15" i="8" l="1"/>
  <c r="B20" i="8" s="1"/>
  <c r="B13" i="8"/>
  <c r="B18" i="8" s="1"/>
  <c r="B19" i="8" s="1"/>
</calcChain>
</file>

<file path=xl/sharedStrings.xml><?xml version="1.0" encoding="utf-8"?>
<sst xmlns="http://schemas.openxmlformats.org/spreadsheetml/2006/main" count="103" uniqueCount="61">
  <si>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</si>
  <si>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</si>
  <si>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</si>
  <si>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</si>
  <si>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</si>
  <si>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Name:</t>
  </si>
  <si>
    <t>GTID:</t>
  </si>
  <si>
    <t>jacqu</t>
  </si>
  <si>
    <t>DESKTOP-LARUAH2</t>
  </si>
  <si>
    <t xml:space="preserve"> </t>
  </si>
  <si>
    <t>Option Pricing Model</t>
  </si>
  <si>
    <t>Calculate days in between two dates</t>
  </si>
  <si>
    <t>Inputs</t>
  </si>
  <si>
    <t>End date</t>
  </si>
  <si>
    <t>S</t>
  </si>
  <si>
    <t>Current stock price</t>
  </si>
  <si>
    <t>Start Date</t>
  </si>
  <si>
    <t>E</t>
  </si>
  <si>
    <t>Exercise price</t>
  </si>
  <si>
    <t># of days between</t>
  </si>
  <si>
    <t>r</t>
  </si>
  <si>
    <t>Risk-free rate of interest</t>
  </si>
  <si>
    <t>Convert to % of year</t>
  </si>
  <si>
    <t>T</t>
  </si>
  <si>
    <t>Time to maturity of option (in years)</t>
  </si>
  <si>
    <t>Sigma</t>
  </si>
  <si>
    <t>Stock volatility, s</t>
  </si>
  <si>
    <t>Common denominator</t>
  </si>
  <si>
    <r>
      <t>Formulas for d</t>
    </r>
    <r>
      <rPr>
        <b/>
        <vertAlign val="subscript"/>
        <sz val="11"/>
        <color theme="1"/>
        <rFont val="Calibri"/>
        <family val="2"/>
        <scheme val="minor"/>
      </rPr>
      <t>1</t>
    </r>
    <r>
      <rPr>
        <b/>
        <sz val="11"/>
        <color theme="1"/>
        <rFont val="Calibri"/>
        <family val="2"/>
        <scheme val="minor"/>
      </rPr>
      <t>, d</t>
    </r>
    <r>
      <rPr>
        <b/>
        <vertAlign val="subscript"/>
        <sz val="11"/>
        <color theme="1"/>
        <rFont val="Calibri"/>
        <family val="2"/>
        <scheme val="minor"/>
      </rPr>
      <t>2</t>
    </r>
    <r>
      <rPr>
        <b/>
        <sz val="11"/>
        <color theme="1"/>
        <rFont val="Calibri"/>
        <family val="2"/>
        <scheme val="minor"/>
      </rPr>
      <t>, N(d</t>
    </r>
    <r>
      <rPr>
        <b/>
        <vertAlign val="subscript"/>
        <sz val="11"/>
        <color theme="1"/>
        <rFont val="Calibri"/>
        <family val="2"/>
        <scheme val="minor"/>
      </rPr>
      <t>1</t>
    </r>
    <r>
      <rPr>
        <b/>
        <sz val="11"/>
        <color theme="1"/>
        <rFont val="Calibri"/>
        <family val="2"/>
        <scheme val="minor"/>
      </rPr>
      <t>), N(d</t>
    </r>
    <r>
      <rPr>
        <b/>
        <vertAlign val="subscript"/>
        <sz val="11"/>
        <color theme="1"/>
        <rFont val="Calibri"/>
        <family val="2"/>
        <scheme val="minor"/>
      </rPr>
      <t>2</t>
    </r>
    <r>
      <rPr>
        <b/>
        <sz val="11"/>
        <color theme="1"/>
        <rFont val="Calibri"/>
        <family val="2"/>
        <scheme val="minor"/>
      </rPr>
      <t>)</t>
    </r>
  </si>
  <si>
    <r>
      <t>d</t>
    </r>
    <r>
      <rPr>
        <vertAlign val="subscript"/>
        <sz val="15"/>
        <color rgb="FF404040"/>
        <rFont val="Trebuchet MS"/>
        <family val="2"/>
      </rPr>
      <t>1</t>
    </r>
    <r>
      <rPr>
        <sz val="15"/>
        <color rgb="FF404040"/>
        <rFont val="Trebuchet MS"/>
        <family val="2"/>
      </rPr>
      <t xml:space="preserve"> = </t>
    </r>
    <r>
      <rPr>
        <u/>
        <sz val="15"/>
        <color rgb="FF404040"/>
        <rFont val="Trebuchet MS"/>
        <family val="2"/>
      </rPr>
      <t>ln(S/E) + (r + σ</t>
    </r>
    <r>
      <rPr>
        <u/>
        <vertAlign val="superscript"/>
        <sz val="15"/>
        <color rgb="FF404040"/>
        <rFont val="Trebuchet MS"/>
        <family val="2"/>
      </rPr>
      <t>2</t>
    </r>
    <r>
      <rPr>
        <u/>
        <sz val="15"/>
        <color rgb="FF404040"/>
        <rFont val="Trebuchet MS"/>
        <family val="2"/>
      </rPr>
      <t>/2)T</t>
    </r>
  </si>
  <si>
    <r>
      <t>d</t>
    </r>
    <r>
      <rPr>
        <vertAlign val="subscript"/>
        <sz val="15"/>
        <rFont val="Trebuchet MS"/>
        <family val="2"/>
      </rPr>
      <t>1</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/2)T</t>
    </r>
  </si>
  <si>
    <t xml:space="preserve">    - </t>
  </si>
  <si>
    <r>
      <t>σT</t>
    </r>
    <r>
      <rPr>
        <vertAlign val="superscript"/>
        <sz val="11"/>
        <rFont val="Calibri"/>
        <family val="2"/>
        <scheme val="minor"/>
      </rPr>
      <t>1/2</t>
    </r>
  </si>
  <si>
    <r>
      <t>σT</t>
    </r>
    <r>
      <rPr>
        <u/>
        <vertAlign val="superscript"/>
        <sz val="11"/>
        <rFont val="Calibri"/>
        <family val="2"/>
        <scheme val="minor"/>
      </rPr>
      <t>1/2</t>
    </r>
  </si>
  <si>
    <t>d1</t>
  </si>
  <si>
    <r>
      <t xml:space="preserve">                 σT</t>
    </r>
    <r>
      <rPr>
        <vertAlign val="superscript"/>
        <sz val="14"/>
        <color rgb="FF404040"/>
        <rFont val="Trebuchet MS"/>
        <family val="2"/>
      </rPr>
      <t>1/2</t>
    </r>
  </si>
  <si>
    <r>
      <t xml:space="preserve">                 σT</t>
    </r>
    <r>
      <rPr>
        <vertAlign val="superscript"/>
        <sz val="14"/>
        <rFont val="Trebuchet MS"/>
        <family val="2"/>
      </rPr>
      <t>1/2</t>
    </r>
  </si>
  <si>
    <t>d2</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</si>
  <si>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/2)T - </t>
    </r>
    <r>
      <rPr>
        <u/>
        <sz val="15"/>
        <rFont val="Calibri"/>
        <family val="2"/>
      </rPr>
      <t>σ</t>
    </r>
    <r>
      <rPr>
        <u/>
        <vertAlign val="superscript"/>
        <sz val="15"/>
        <rFont val="Trebuchet MS"/>
        <family val="2"/>
      </rPr>
      <t>2</t>
    </r>
    <r>
      <rPr>
        <u/>
        <sz val="15"/>
        <rFont val="Trebuchet MS"/>
        <family val="2"/>
      </rPr>
      <t>T</t>
    </r>
  </si>
  <si>
    <t>N(d1)</t>
  </si>
  <si>
    <t xml:space="preserve">  </t>
  </si>
  <si>
    <r>
      <t>d</t>
    </r>
    <r>
      <rPr>
        <vertAlign val="subscript"/>
        <sz val="15"/>
        <color rgb="FF404040"/>
        <rFont val="Trebuchet MS"/>
        <family val="2"/>
      </rPr>
      <t>2</t>
    </r>
    <r>
      <rPr>
        <sz val="15"/>
        <color rgb="FF404040"/>
        <rFont val="Trebuchet MS"/>
        <family val="2"/>
      </rPr>
      <t xml:space="preserve"> = d</t>
    </r>
    <r>
      <rPr>
        <vertAlign val="subscript"/>
        <sz val="15"/>
        <color rgb="FF404040"/>
        <rFont val="Trebuchet MS"/>
        <family val="2"/>
      </rPr>
      <t>1</t>
    </r>
    <r>
      <rPr>
        <sz val="15"/>
        <color rgb="FF404040"/>
        <rFont val="Trebuchet MS"/>
        <family val="2"/>
      </rPr>
      <t xml:space="preserve"> -  σT</t>
    </r>
    <r>
      <rPr>
        <vertAlign val="superscript"/>
        <sz val="15"/>
        <color rgb="FF404040"/>
        <rFont val="Trebuchet MS"/>
        <family val="2"/>
      </rPr>
      <t>1/2</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</si>
  <si>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</si>
  <si>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 </t>
    </r>
    <r>
      <rPr>
        <u/>
        <sz val="15"/>
        <rFont val="Calibri"/>
        <family val="2"/>
      </rPr>
      <t>σ</t>
    </r>
    <r>
      <rPr>
        <u/>
        <vertAlign val="superscript"/>
        <sz val="15"/>
        <rFont val="Trebuchet MS"/>
        <family val="2"/>
      </rPr>
      <t>2</t>
    </r>
    <r>
      <rPr>
        <u/>
        <sz val="15"/>
        <rFont val="Trebuchet MS"/>
        <family val="2"/>
      </rPr>
      <t>T</t>
    </r>
  </si>
  <si>
    <t>N(-d1)</t>
  </si>
  <si>
    <r>
      <t>N(</t>
    </r>
    <r>
      <rPr>
        <sz val="15"/>
        <color rgb="FF404040"/>
        <rFont val="Calibri"/>
        <family val="2"/>
      </rPr>
      <t>·</t>
    </r>
    <r>
      <rPr>
        <sz val="17.25"/>
        <color rgb="FF404040"/>
        <rFont val="Trebuchet MS"/>
        <family val="2"/>
      </rPr>
      <t>) use Normsdist function</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</si>
  <si>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</si>
  <si>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t>
    </r>
  </si>
  <si>
    <t>Outputs</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</si>
  <si>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 T </t>
    </r>
  </si>
  <si>
    <t>Call price</t>
  </si>
  <si>
    <r>
      <t>C = S x N(d</t>
    </r>
    <r>
      <rPr>
        <vertAlign val="subscript"/>
        <sz val="14"/>
        <color rgb="FF404040"/>
        <rFont val="Trebuchet MS"/>
        <family val="2"/>
      </rPr>
      <t>1</t>
    </r>
    <r>
      <rPr>
        <sz val="14"/>
        <color rgb="FF404040"/>
        <rFont val="Trebuchet MS"/>
        <family val="2"/>
      </rPr>
      <t>) – E (e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t>
    </r>
  </si>
  <si>
    <t>Put price (put-call parity)</t>
  </si>
  <si>
    <r>
      <t>P+S = C+E(e</t>
    </r>
    <r>
      <rPr>
        <vertAlign val="superscript"/>
        <sz val="14"/>
        <color rgb="FF404040"/>
        <rFont val="Trebuchet MS"/>
        <family val="2"/>
      </rPr>
      <t>-rt</t>
    </r>
    <r>
      <rPr>
        <sz val="14"/>
        <color rgb="FF404040"/>
        <rFont val="Trebuchet MS"/>
        <family val="2"/>
      </rPr>
      <t>);  P=C-S+E(e</t>
    </r>
    <r>
      <rPr>
        <vertAlign val="superscript"/>
        <sz val="14"/>
        <color rgb="FF404040"/>
        <rFont val="Trebuchet MS"/>
        <family val="2"/>
      </rPr>
      <t>-rt</t>
    </r>
    <r>
      <rPr>
        <sz val="14"/>
        <color rgb="FF404040"/>
        <rFont val="Trebuchet MS"/>
        <family val="2"/>
      </rPr>
      <t>)</t>
    </r>
  </si>
  <si>
    <t>Put price (direct formula)</t>
  </si>
  <si>
    <r>
      <t>P  = E(e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 – S x N(-d</t>
    </r>
    <r>
      <rPr>
        <vertAlign val="subscript"/>
        <sz val="14"/>
        <color rgb="FF404040"/>
        <rFont val="Trebuchet MS"/>
        <family val="2"/>
      </rPr>
      <t>1</t>
    </r>
    <r>
      <rPr>
        <sz val="14"/>
        <color rgb="FF404040"/>
        <rFont val="Trebuchet MS"/>
        <family val="2"/>
      </rPr>
      <t>)</t>
    </r>
  </si>
  <si>
    <t>liuzi</t>
  </si>
  <si>
    <t>US1190501W1</t>
  </si>
  <si>
    <t>Liu</t>
  </si>
  <si>
    <t>jazzi</t>
  </si>
  <si>
    <t>LAPTOP-UQ05CKRC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</si>
</sst>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000"/>
    <numFmt numFmtId="165" formatCode="0.0000000000"/>
  </numFmts>
  <fonts count="4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sz val="11"/>
      <color theme="4" tint="-0.249977111117893"/>
      <name val="Calibri"/>
      <family val="2"/>
      <scheme val="minor"/>
    </font>
    <font>
      <b/>
      <vertAlign val="subscript"/>
      <sz val="11"/>
      <color theme="1"/>
      <name val="Calibri"/>
      <family val="2"/>
      <scheme val="minor"/>
    </font>
    <font>
      <sz val="15"/>
      <color rgb="FF404040"/>
      <name val="Trebuchet MS"/>
      <family val="2"/>
    </font>
    <font>
      <vertAlign val="subscript"/>
      <sz val="15"/>
      <color rgb="FF404040"/>
      <name val="Trebuchet MS"/>
      <family val="2"/>
    </font>
    <font>
      <u/>
      <sz val="15"/>
      <color rgb="FF404040"/>
      <name val="Trebuchet MS"/>
      <family val="2"/>
    </font>
    <font>
      <u/>
      <vertAlign val="superscript"/>
      <sz val="15"/>
      <color rgb="FF404040"/>
      <name val="Trebuchet MS"/>
      <family val="2"/>
    </font>
    <font>
      <sz val="15"/>
      <name val="Trebuchet MS"/>
      <family val="2"/>
    </font>
    <font>
      <vertAlign val="subscript"/>
      <sz val="15"/>
      <name val="Trebuchet MS"/>
      <family val="2"/>
    </font>
    <font>
      <u/>
      <sz val="15"/>
      <name val="Trebuchet MS"/>
      <family val="2"/>
    </font>
    <font>
      <u/>
      <vertAlign val="superscript"/>
      <sz val="15"/>
      <name val="Trebuchet MS"/>
      <family val="2"/>
    </font>
    <font>
      <vertAlign val="superscript"/>
      <sz val="11"/>
      <name val="Calibri"/>
      <family val="2"/>
      <scheme val="minor"/>
    </font>
    <font>
      <u/>
      <sz val="11"/>
      <name val="Calibri"/>
      <family val="2"/>
      <scheme val="minor"/>
    </font>
    <font>
      <u/>
      <vertAlign val="superscript"/>
      <sz val="11"/>
      <name val="Calibri"/>
      <family val="2"/>
      <scheme val="minor"/>
    </font>
    <font>
      <sz val="14"/>
      <color rgb="FF404040"/>
      <name val="Trebuchet MS"/>
      <family val="2"/>
    </font>
    <font>
      <vertAlign val="superscript"/>
      <sz val="14"/>
      <color rgb="FF404040"/>
      <name val="Trebuchet MS"/>
      <family val="2"/>
    </font>
    <font>
      <sz val="14"/>
      <name val="Trebuchet MS"/>
      <family val="2"/>
    </font>
    <font>
      <vertAlign val="superscript"/>
      <sz val="14"/>
      <name val="Trebuchet MS"/>
      <family val="2"/>
    </font>
    <font>
      <u/>
      <sz val="15"/>
      <name val="Calibri"/>
      <family val="2"/>
    </font>
    <font>
      <vertAlign val="superscript"/>
      <sz val="15"/>
      <color rgb="FF404040"/>
      <name val="Trebuchet MS"/>
      <family val="2"/>
    </font>
    <font>
      <sz val="15"/>
      <color rgb="FF404040"/>
      <name val="Calibri"/>
      <family val="2"/>
    </font>
    <font>
      <sz val="17.25"/>
      <color rgb="FF404040"/>
      <name val="Trebuchet MS"/>
      <family val="2"/>
    </font>
    <font>
      <vertAlign val="subscript"/>
      <sz val="14"/>
      <color rgb="FF404040"/>
      <name val="Trebuchet MS"/>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37">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rgb="FFFFFFCC"/>
        <bgColor indexed="64"/>
      </patternFill>
    </fill>
    <fill>
      <patternFill patternType="solid">
        <fgColor theme="3"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9" fontId="2" fillId="0" borderId="0" applyFont="0" applyFill="0" applyBorder="0" applyAlignment="0" applyProtection="0"/>
    <xf numFmtId="44" fontId="2" fillId="0" borderId="0" applyFont="0" applyFill="0" applyBorder="0" applyAlignment="0" applyProtection="0"/>
    <xf numFmtId="0" fontId="28" fillId="0" borderId="0" applyNumberFormat="0" applyFill="0" applyBorder="0" applyAlignment="0" applyProtection="0"/>
    <xf numFmtId="0" fontId="29" fillId="0" borderId="14" applyNumberFormat="0" applyFill="0" applyAlignment="0" applyProtection="0"/>
    <xf numFmtId="0" fontId="30" fillId="0" borderId="15" applyNumberFormat="0" applyFill="0" applyAlignment="0" applyProtection="0"/>
    <xf numFmtId="0" fontId="31" fillId="0" borderId="16" applyNumberFormat="0" applyFill="0" applyAlignment="0" applyProtection="0"/>
    <xf numFmtId="0" fontId="31" fillId="0" borderId="0" applyNumberFormat="0" applyFill="0" applyBorder="0" applyAlignment="0" applyProtection="0"/>
    <xf numFmtId="0" fontId="32" fillId="6" borderId="0" applyNumberFormat="0" applyBorder="0" applyAlignment="0" applyProtection="0"/>
    <xf numFmtId="0" fontId="33" fillId="7" borderId="0" applyNumberFormat="0" applyBorder="0" applyAlignment="0" applyProtection="0"/>
    <xf numFmtId="0" fontId="34" fillId="8" borderId="0" applyNumberFormat="0" applyBorder="0" applyAlignment="0" applyProtection="0"/>
    <xf numFmtId="0" fontId="35" fillId="9" borderId="17" applyNumberFormat="0" applyAlignment="0" applyProtection="0"/>
    <xf numFmtId="0" fontId="36" fillId="10" borderId="18" applyNumberFormat="0" applyAlignment="0" applyProtection="0"/>
    <xf numFmtId="0" fontId="37" fillId="10" borderId="17" applyNumberFormat="0" applyAlignment="0" applyProtection="0"/>
    <xf numFmtId="0" fontId="38" fillId="0" borderId="19" applyNumberFormat="0" applyFill="0" applyAlignment="0" applyProtection="0"/>
    <xf numFmtId="0" fontId="39" fillId="11" borderId="20" applyNumberFormat="0" applyAlignment="0" applyProtection="0"/>
    <xf numFmtId="0" fontId="40" fillId="0" borderId="0" applyNumberFormat="0" applyFill="0" applyBorder="0" applyAlignment="0" applyProtection="0"/>
    <xf numFmtId="0" fontId="2" fillId="12" borderId="21" applyNumberFormat="0" applyFont="0" applyAlignment="0" applyProtection="0"/>
    <xf numFmtId="0" fontId="41" fillId="0" borderId="0" applyNumberFormat="0" applyFill="0" applyBorder="0" applyAlignment="0" applyProtection="0"/>
    <xf numFmtId="0" fontId="3" fillId="0" borderId="22" applyNumberFormat="0" applyFill="0" applyAlignment="0" applyProtection="0"/>
    <xf numFmtId="0" fontId="5"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5"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5"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5"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5"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5"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cellStyleXfs>
  <cellXfs count="59">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14" fontId="0" fillId="0" borderId="3" xfId="0" applyNumberFormat="1" applyBorder="1"/>
    <xf numFmtId="14" fontId="6" fillId="4" borderId="4" xfId="0" applyNumberFormat="1" applyFont="1" applyFill="1" applyBorder="1"/>
    <xf numFmtId="0" fontId="0" fillId="0" borderId="6" xfId="0" applyBorder="1"/>
    <xf numFmtId="0" fontId="6" fillId="4" borderId="10" xfId="0" applyFont="1" applyFill="1" applyBorder="1"/>
    <xf numFmtId="0" fontId="0" fillId="0" borderId="0" xfId="0" applyBorder="1"/>
    <xf numFmtId="14" fontId="0" fillId="0" borderId="6" xfId="0" applyNumberFormat="1" applyBorder="1"/>
    <xf numFmtId="14" fontId="6" fillId="4" borderId="7" xfId="0" applyNumberFormat="1" applyFont="1" applyFill="1" applyBorder="1"/>
    <xf numFmtId="0" fontId="0" fillId="5" borderId="10" xfId="0" applyFill="1" applyBorder="1"/>
    <xf numFmtId="10" fontId="6" fillId="4" borderId="10" xfId="0" applyNumberFormat="1" applyFont="1" applyFill="1" applyBorder="1"/>
    <xf numFmtId="0" fontId="0" fillId="0" borderId="7" xfId="0" applyBorder="1"/>
    <xf numFmtId="0" fontId="0" fillId="0" borderId="8" xfId="0" applyBorder="1"/>
    <xf numFmtId="9" fontId="6" fillId="4" borderId="10" xfId="0" applyNumberFormat="1" applyFont="1" applyFill="1" applyBorder="1"/>
    <xf numFmtId="0" fontId="0" fillId="0" borderId="12" xfId="0" applyBorder="1"/>
    <xf numFmtId="0" fontId="0" fillId="0" borderId="9" xfId="0" applyBorder="1"/>
    <xf numFmtId="0" fontId="4" fillId="0" borderId="0" xfId="0" applyFont="1"/>
    <xf numFmtId="0" fontId="5" fillId="0" borderId="0" xfId="0" applyFont="1"/>
    <xf numFmtId="0" fontId="8" fillId="0" borderId="3" xfId="0" applyFont="1" applyBorder="1" applyAlignment="1">
      <alignment horizontal="left" vertical="center" indent="4" readingOrder="1"/>
    </xf>
    <xf numFmtId="0" fontId="12" fillId="0" borderId="3" xfId="0" applyFont="1" applyBorder="1" applyAlignment="1">
      <alignment horizontal="left" vertical="center" indent="4" readingOrder="1"/>
    </xf>
    <xf numFmtId="0" fontId="4" fillId="0" borderId="11" xfId="0" applyFont="1" applyBorder="1"/>
    <xf numFmtId="0" fontId="17" fillId="0" borderId="4" xfId="0" applyFont="1" applyBorder="1"/>
    <xf numFmtId="164" fontId="0" fillId="2" borderId="10" xfId="1" quotePrefix="1" applyNumberFormat="1" applyFont="1" applyFill="1" applyBorder="1"/>
    <xf numFmtId="164" fontId="0" fillId="0" borderId="0" xfId="0" applyNumberFormat="1"/>
    <xf numFmtId="0" fontId="19" fillId="0" borderId="8" xfId="0" applyFont="1" applyBorder="1" applyAlignment="1">
      <alignment horizontal="left" vertical="center" indent="5" readingOrder="1"/>
    </xf>
    <xf numFmtId="0" fontId="21" fillId="0" borderId="8" xfId="0" applyFont="1" applyBorder="1" applyAlignment="1">
      <alignment horizontal="left" vertical="center" indent="5" readingOrder="1"/>
    </xf>
    <xf numFmtId="0" fontId="4" fillId="0" borderId="12" xfId="0" applyFont="1" applyBorder="1"/>
    <xf numFmtId="0" fontId="4" fillId="0" borderId="9" xfId="0" applyFont="1" applyBorder="1"/>
    <xf numFmtId="0" fontId="8" fillId="0" borderId="0" xfId="0" applyFont="1" applyAlignment="1">
      <alignment horizontal="left" vertical="center" indent="4" readingOrder="1"/>
    </xf>
    <xf numFmtId="0" fontId="4" fillId="0" borderId="4" xfId="0" applyFont="1" applyBorder="1"/>
    <xf numFmtId="0" fontId="5" fillId="0" borderId="0" xfId="0" applyFont="1" applyBorder="1"/>
    <xf numFmtId="164" fontId="0" fillId="2" borderId="10" xfId="1" applyNumberFormat="1" applyFont="1" applyFill="1" applyBorder="1"/>
    <xf numFmtId="0" fontId="8" fillId="0" borderId="1" xfId="0" applyFont="1" applyBorder="1" applyAlignment="1">
      <alignment horizontal="left" vertical="center" indent="4" readingOrder="1"/>
    </xf>
    <xf numFmtId="165" fontId="5" fillId="0" borderId="0" xfId="0" applyNumberFormat="1" applyFont="1"/>
    <xf numFmtId="0" fontId="0" fillId="0" borderId="3" xfId="0" applyBorder="1"/>
    <xf numFmtId="44" fontId="0" fillId="2" borderId="10" xfId="2" applyNumberFormat="1" applyFont="1" applyFill="1" applyBorder="1"/>
    <xf numFmtId="0" fontId="0" fillId="0" borderId="11" xfId="0" applyBorder="1"/>
    <xf numFmtId="44" fontId="0" fillId="0" borderId="11" xfId="2" applyFont="1" applyBorder="1"/>
    <xf numFmtId="0" fontId="0" fillId="0" borderId="4" xfId="0" applyBorder="1"/>
    <xf numFmtId="0" fontId="19" fillId="0" borderId="1" xfId="0" applyFont="1" applyBorder="1" applyAlignment="1">
      <alignment horizontal="left" vertical="center" indent="4" readingOrder="1"/>
    </xf>
    <xf numFmtId="0" fontId="19" fillId="0" borderId="13" xfId="0" applyFont="1" applyBorder="1" applyAlignment="1">
      <alignment horizontal="left" vertical="center" indent="4" readingOrder="1"/>
    </xf>
    <xf numFmtId="0" fontId="0" fillId="3" borderId="5" xfId="0" applyFill="1" applyBorder="1"/>
    <xf numFmtId="44" fontId="0" fillId="2" borderId="10" xfId="2" quotePrefix="1" applyFont="1" applyFill="1" applyBorder="1"/>
    <xf numFmtId="0" fontId="0" fillId="0" borderId="10" xfId="0" applyBorder="1" applyAlignment="1">
      <alignment horizontal="left"/>
    </xf>
    <xf numFmtId="0" fontId="3" fillId="0" borderId="1"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3" fillId="0" borderId="0" xfId="0" applyFont="1" applyBorder="1" applyAlignment="1">
      <alignment horizontal="center"/>
    </xf>
    <xf numFmtId="0" fontId="3" fillId="3" borderId="1" xfId="0" applyFont="1" applyFill="1" applyBorder="1" applyAlignment="1">
      <alignment horizontal="center"/>
    </xf>
    <xf numFmtId="0" fontId="3" fillId="3" borderId="11" xfId="0" applyFont="1" applyFill="1" applyBorder="1" applyAlignment="1">
      <alignment horizontal="center"/>
    </xf>
    <xf numFmtId="0" fontId="3" fillId="3" borderId="5" xfId="0" applyFont="1" applyFill="1" applyBorder="1" applyAlignment="1">
      <alignment horizont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5" xfId="0" applyFill="1" applyBorder="1" applyAlignment="1">
      <alignment horizontal="center"/>
    </xf>
    <xf numFmtId="0" fontId="0" fillId="3" borderId="2" xfId="0" applyFill="1" applyBorder="1" applyAlignment="1">
      <alignment horizontal="center"/>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urrency" xfId="2"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1" builtinId="5"/>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H6" sqref="H6"/>
    </sheetView>
  </sheetViews>
  <sheetFormatPr defaultRowHeight="14.4" x14ac:dyDescent="0.3"/>
  <cols>
    <col min="2" max="2" width="27.5546875" customWidth="1"/>
  </cols>
  <sheetData>
    <row r="1" spans="1:11" x14ac:dyDescent="0.3">
      <c r="A1" t="s">
        <v>5</v>
      </c>
      <c r="B1" s="46" t="s">
        <v>58</v>
      </c>
    </row>
    <row r="2" spans="1:11" x14ac:dyDescent="0.3">
      <c r="A2" t="s">
        <v>6</v>
      </c>
      <c r="B2" s="46">
        <v>903476881</v>
      </c>
    </row>
    <row r="9" spans="1:11" x14ac:dyDescent="0.3">
      <c r="K9" s="3"/>
    </row>
    <row r="10" spans="1:11" x14ac:dyDescent="0.3">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6C34D-3305-4798-8C67-96F929F3B63B}">
  <sheetPr codeName="Sheet7"/>
  <dimension ref="A1:O23"/>
  <sheetViews>
    <sheetView tabSelected="1" workbookViewId="0">
      <selection sqref="A1:F1"/>
    </sheetView>
  </sheetViews>
  <sheetFormatPr defaultRowHeight="14.4" x14ac:dyDescent="0.3"/>
  <cols>
    <col min="1" max="1" width="28.44140625" customWidth="1"/>
    <col min="2" max="2" width="17.5546875" customWidth="1"/>
    <col min="3" max="3" width="26.33203125" customWidth="1"/>
    <col min="4" max="4" width="11" customWidth="1"/>
    <col min="5" max="5" width="2.33203125" customWidth="1"/>
    <col min="6" max="6" width="11" customWidth="1"/>
    <col min="7" max="7" width="50.44140625" customWidth="1"/>
    <col min="8" max="8" width="26" customWidth="1"/>
  </cols>
  <sheetData>
    <row r="1" spans="1:15" ht="15" thickBot="1" x14ac:dyDescent="0.35">
      <c r="A1" s="47" t="s">
        <v>10</v>
      </c>
      <c r="B1" s="48"/>
      <c r="C1" s="48"/>
      <c r="D1" s="48"/>
      <c r="E1" s="48"/>
      <c r="F1" s="49"/>
      <c r="G1" s="50" t="s">
        <v>11</v>
      </c>
      <c r="H1" s="51"/>
    </row>
    <row r="2" spans="1:15" ht="15" thickBot="1" x14ac:dyDescent="0.35">
      <c r="A2" s="52" t="s">
        <v>12</v>
      </c>
      <c r="B2" s="53"/>
      <c r="C2" s="54"/>
      <c r="D2" s="54"/>
      <c r="E2" s="54"/>
      <c r="F2" s="44"/>
      <c r="G2" s="5" t="s">
        <v>13</v>
      </c>
      <c r="H2" s="6">
        <v>43441</v>
      </c>
    </row>
    <row r="3" spans="1:15" x14ac:dyDescent="0.3">
      <c r="A3" s="7" t="s">
        <v>14</v>
      </c>
      <c r="B3" s="8">
        <v>68.599999999999994</v>
      </c>
      <c r="C3" s="9" t="s">
        <v>15</v>
      </c>
      <c r="D3" s="9"/>
      <c r="E3" s="9"/>
      <c r="F3" s="9"/>
      <c r="G3" s="10" t="s">
        <v>16</v>
      </c>
      <c r="H3" s="11">
        <v>43413</v>
      </c>
    </row>
    <row r="4" spans="1:15" x14ac:dyDescent="0.3">
      <c r="A4" s="7" t="s">
        <v>17</v>
      </c>
      <c r="B4" s="8">
        <v>65.5</v>
      </c>
      <c r="C4" s="9" t="s">
        <v>18</v>
      </c>
      <c r="D4" s="9"/>
      <c r="E4" s="9"/>
      <c r="F4" s="9"/>
      <c r="G4" s="7" t="s">
        <v>19</v>
      </c>
      <c r="H4" s="12">
        <f>_xlfn.DAYS(H2,H3)</f>
        <v>28</v>
      </c>
    </row>
    <row r="5" spans="1:15" x14ac:dyDescent="0.3">
      <c r="A5" s="7" t="s">
        <v>20</v>
      </c>
      <c r="B5" s="13">
        <v>2.2100000000000002E-2</v>
      </c>
      <c r="C5" s="9" t="s">
        <v>21</v>
      </c>
      <c r="D5" s="9"/>
      <c r="E5" s="9"/>
      <c r="F5" s="9"/>
      <c r="G5" s="7" t="s">
        <v>22</v>
      </c>
      <c r="H5" s="12">
        <f>H4/365</f>
        <v>7.6712328767123292E-2</v>
      </c>
    </row>
    <row r="6" spans="1:15" x14ac:dyDescent="0.3">
      <c r="A6" s="7" t="s">
        <v>23</v>
      </c>
      <c r="B6" s="8">
        <f>H5</f>
        <v>7.6712328767123292E-2</v>
      </c>
      <c r="C6" s="9" t="s">
        <v>24</v>
      </c>
      <c r="D6" s="9"/>
      <c r="E6" s="9"/>
      <c r="F6" s="9"/>
      <c r="G6" s="10" t="s">
        <v>9</v>
      </c>
      <c r="H6" s="14"/>
    </row>
    <row r="7" spans="1:15" ht="15" thickBot="1" x14ac:dyDescent="0.35">
      <c r="A7" s="15" t="s">
        <v>25</v>
      </c>
      <c r="B7" s="16">
        <v>0.19848445361594208</v>
      </c>
      <c r="C7" s="17" t="s">
        <v>26</v>
      </c>
      <c r="D7" s="17"/>
      <c r="E7" s="17"/>
      <c r="F7" s="17"/>
      <c r="G7" s="15"/>
      <c r="H7" s="18"/>
    </row>
    <row r="8" spans="1:15" ht="15" thickBot="1" x14ac:dyDescent="0.35">
      <c r="A8" s="9"/>
      <c r="B8" s="9"/>
      <c r="C8" s="9"/>
      <c r="D8" s="9"/>
      <c r="E8" s="9"/>
      <c r="F8" s="9"/>
      <c r="H8" s="19"/>
      <c r="I8" s="19"/>
      <c r="J8" s="19"/>
      <c r="K8" s="19"/>
      <c r="L8" s="19"/>
      <c r="M8" s="19"/>
      <c r="N8" s="19" t="s">
        <v>27</v>
      </c>
      <c r="O8" s="20"/>
    </row>
    <row r="9" spans="1:15" ht="25.2" thickBot="1" x14ac:dyDescent="0.4">
      <c r="A9" s="52" t="s">
        <v>28</v>
      </c>
      <c r="B9" s="53"/>
      <c r="C9" s="54"/>
      <c r="D9" s="54"/>
      <c r="E9" s="54"/>
      <c r="F9" s="54"/>
      <c r="G9" s="21" t="s">
        <v>29</v>
      </c>
      <c r="H9" s="22" t="s">
        <v>30</v>
      </c>
      <c r="I9" s="23"/>
      <c r="J9" s="23"/>
      <c r="K9" s="23"/>
      <c r="L9" s="23" t="s">
        <v>31</v>
      </c>
      <c r="M9" s="23" t="s">
        <v>32</v>
      </c>
      <c r="N9" s="24" t="s">
        <v>33</v>
      </c>
      <c r="O9" s="20"/>
    </row>
    <row r="10" spans="1:15" ht="21.6" thickBot="1" x14ac:dyDescent="0.35">
      <c r="A10" t="s">
        <v>34</v>
      </c>
      <c r="B10" s="25">
        <f>(LN(B3/B4)+(B5+0.5*B7^2)*B6)/(B7*SQRT(B6))</f>
        <v>0.89949100903546375</v>
      </c>
      <c r="C10" t="s">
        <v>9</v>
      </c>
      <c r="D10" s="26" t="s">
        <v>9</v>
      </c>
      <c r="G10" s="27" t="s">
        <v>35</v>
      </c>
      <c r="H10" s="28" t="s">
        <v>36</v>
      </c>
      <c r="I10" s="29"/>
      <c r="J10" s="29"/>
      <c r="K10" s="29"/>
      <c r="L10" s="29"/>
      <c r="M10" s="29"/>
      <c r="N10" s="30" t="s">
        <v>32</v>
      </c>
      <c r="O10" s="20"/>
    </row>
    <row r="11" spans="1:15" ht="25.2" thickBot="1" x14ac:dyDescent="0.35">
      <c r="A11" t="s">
        <v>37</v>
      </c>
      <c r="B11" s="25">
        <f>B10-B7*(SQRT(B6))</f>
        <v>0.84451678859739876</v>
      </c>
      <c r="C11" t="s">
        <v>9</v>
      </c>
      <c r="D11" s="26" t="s">
        <v>9</v>
      </c>
      <c r="G11" s="31" t="s">
        <v>9</v>
      </c>
      <c r="H11" s="22" t="s">
        <v>38</v>
      </c>
      <c r="I11" s="23"/>
      <c r="J11" s="23"/>
      <c r="K11" s="32"/>
      <c r="L11" s="33"/>
      <c r="M11" s="20"/>
      <c r="N11" s="20"/>
      <c r="O11" s="20"/>
    </row>
    <row r="12" spans="1:15" ht="25.2" thickBot="1" x14ac:dyDescent="0.35">
      <c r="A12" t="s">
        <v>39</v>
      </c>
      <c r="B12" s="34">
        <f>NORMSDIST(B10)</f>
        <v>0.81580440864552495</v>
      </c>
      <c r="C12" t="s">
        <v>9</v>
      </c>
      <c r="D12" t="s">
        <v>40</v>
      </c>
      <c r="G12" s="35" t="s">
        <v>41</v>
      </c>
      <c r="H12" s="28" t="s">
        <v>36</v>
      </c>
      <c r="I12" s="29"/>
      <c r="J12" s="29"/>
      <c r="K12" s="30"/>
      <c r="L12" s="33"/>
      <c r="M12" s="20"/>
      <c r="N12" s="20"/>
      <c r="O12" s="20"/>
    </row>
    <row r="13" spans="1:15" ht="25.2" thickBot="1" x14ac:dyDescent="0.35">
      <c r="A13" t="s">
        <v>42</v>
      </c>
      <c r="B13" s="34">
        <f>NORMSDIST(B11)</f>
        <v>0.80080965706134566</v>
      </c>
      <c r="C13" t="s">
        <v>9</v>
      </c>
      <c r="H13" s="22" t="s">
        <v>43</v>
      </c>
      <c r="I13" s="23"/>
      <c r="J13" s="23"/>
      <c r="K13" s="32"/>
      <c r="L13" s="33"/>
      <c r="M13" s="20"/>
      <c r="N13" s="20"/>
      <c r="O13" s="20"/>
    </row>
    <row r="14" spans="1:15" ht="23.4" thickBot="1" x14ac:dyDescent="0.35">
      <c r="A14" t="s">
        <v>44</v>
      </c>
      <c r="B14" s="34">
        <f>NORMSDIST(-B10)</f>
        <v>0.18419559135447505</v>
      </c>
      <c r="C14" t="s">
        <v>9</v>
      </c>
      <c r="G14" s="35" t="s">
        <v>45</v>
      </c>
      <c r="H14" s="28" t="s">
        <v>36</v>
      </c>
      <c r="I14" s="29"/>
      <c r="J14" s="29"/>
      <c r="K14" s="30"/>
      <c r="L14" s="33"/>
      <c r="M14" s="20"/>
      <c r="N14" s="20"/>
      <c r="O14" s="20"/>
    </row>
    <row r="15" spans="1:15" ht="24.6" x14ac:dyDescent="0.3">
      <c r="A15" t="s">
        <v>46</v>
      </c>
      <c r="B15" s="34">
        <f>NORMSDIST(-B11)</f>
        <v>0.1991903429386544</v>
      </c>
      <c r="C15" t="s">
        <v>9</v>
      </c>
      <c r="H15" s="22" t="s">
        <v>47</v>
      </c>
      <c r="I15" s="23"/>
      <c r="J15" s="23"/>
      <c r="K15" s="32"/>
      <c r="L15" s="33"/>
      <c r="M15" s="20"/>
      <c r="N15" s="20"/>
      <c r="O15" s="20"/>
    </row>
    <row r="16" spans="1:15" ht="21.6" thickBot="1" x14ac:dyDescent="0.35">
      <c r="H16" s="28" t="s">
        <v>36</v>
      </c>
      <c r="I16" s="29"/>
      <c r="J16" s="29"/>
      <c r="K16" s="30"/>
      <c r="L16" s="33"/>
      <c r="M16" s="20"/>
      <c r="N16" s="36"/>
      <c r="O16" s="20"/>
    </row>
    <row r="17" spans="1:15" ht="25.2" thickBot="1" x14ac:dyDescent="0.35">
      <c r="A17" s="55" t="s">
        <v>48</v>
      </c>
      <c r="B17" s="56"/>
      <c r="C17" s="57"/>
      <c r="D17" s="57"/>
      <c r="E17" s="57"/>
      <c r="F17" s="58"/>
      <c r="H17" s="22" t="s">
        <v>49</v>
      </c>
      <c r="I17" s="23"/>
      <c r="J17" s="23"/>
      <c r="K17" s="32"/>
      <c r="L17" s="33"/>
      <c r="M17" s="20"/>
      <c r="N17" s="20"/>
      <c r="O17" s="20"/>
    </row>
    <row r="18" spans="1:15" ht="21.6" thickBot="1" x14ac:dyDescent="0.35">
      <c r="A18" s="37" t="s">
        <v>50</v>
      </c>
      <c r="B18" s="38">
        <f>B3*B12-B4*EXP(-B5*B6)*B13</f>
        <v>3.600000411775568</v>
      </c>
      <c r="C18" s="39" t="s">
        <v>9</v>
      </c>
      <c r="D18" s="40" t="s">
        <v>9</v>
      </c>
      <c r="E18" s="39"/>
      <c r="F18" s="41" t="s">
        <v>9</v>
      </c>
      <c r="G18" s="42" t="s">
        <v>51</v>
      </c>
      <c r="H18" s="28" t="s">
        <v>36</v>
      </c>
      <c r="I18" s="29"/>
      <c r="J18" s="29"/>
      <c r="K18" s="30"/>
      <c r="L18" s="33"/>
      <c r="M18" s="20"/>
      <c r="N18" s="20"/>
    </row>
    <row r="19" spans="1:15" ht="21.6" thickBot="1" x14ac:dyDescent="0.35">
      <c r="A19" s="7" t="s">
        <v>52</v>
      </c>
      <c r="B19" s="38">
        <f>B18-B3+B4*EXP(-B5*B6)</f>
        <v>0.38904955669129038</v>
      </c>
      <c r="C19" s="9" t="s">
        <v>9</v>
      </c>
      <c r="D19" s="9" t="s">
        <v>9</v>
      </c>
      <c r="E19" s="9" t="s">
        <v>9</v>
      </c>
      <c r="F19" s="14"/>
      <c r="G19" s="43" t="s">
        <v>53</v>
      </c>
      <c r="H19" s="20"/>
      <c r="I19" s="20"/>
      <c r="J19" s="20"/>
      <c r="K19" s="20"/>
      <c r="L19" s="20"/>
      <c r="M19" s="20"/>
      <c r="N19" s="20"/>
    </row>
    <row r="20" spans="1:15" ht="21.6" thickBot="1" x14ac:dyDescent="0.35">
      <c r="A20" s="15" t="s">
        <v>54</v>
      </c>
      <c r="B20" s="45">
        <f>B4*EXP(-B5*B6)*B15-B3*B14</f>
        <v>0.38904955669130104</v>
      </c>
      <c r="C20" s="17" t="s">
        <v>9</v>
      </c>
      <c r="D20" s="17" t="s">
        <v>9</v>
      </c>
      <c r="E20" s="17"/>
      <c r="F20" s="18"/>
      <c r="G20" s="43" t="s">
        <v>55</v>
      </c>
    </row>
    <row r="21" spans="1:15" ht="18.600000000000001" thickBot="1" x14ac:dyDescent="0.35">
      <c r="G21" s="43" t="s">
        <v>9</v>
      </c>
    </row>
    <row r="23" spans="1:15" x14ac:dyDescent="0.3">
      <c r="C23" t="s">
        <v>9</v>
      </c>
    </row>
  </sheetData>
  <mergeCells count="5">
    <mergeCell ref="A1:F1"/>
    <mergeCell ref="G1:H1"/>
    <mergeCell ref="A2:E2"/>
    <mergeCell ref="A9:F9"/>
    <mergeCell ref="A17:F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D23" sqref="D23"/>
    </sheetView>
  </sheetViews>
  <sheetFormatPr defaultRowHeight="14.4" x14ac:dyDescent="0.3"/>
  <cols>
    <col min="1" max="1" width="73" customWidth="1"/>
  </cols>
  <sheetData>
    <row r="1" spans="1:1" ht="75" x14ac:dyDescent="0.3">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3"/>
  <sheetViews>
    <sheetView workbookViewId="0">
      <selection activeCell="A2" sqref="A2:D5"/>
    </sheetView>
  </sheetViews>
  <sheetFormatPr defaultRowHeight="14.4" x14ac:dyDescent="0.3"/>
  <cols>
    <col min="1" max="1" width="26.88671875" customWidth="1"/>
    <col min="2" max="2" width="25.5546875" customWidth="1"/>
    <col min="3" max="3" width="26" customWidth="1"/>
    <col min="4" max="4" width="25.44140625" customWidth="1"/>
  </cols>
  <sheetData>
    <row r="1" spans="1:4" x14ac:dyDescent="0.3">
      <c r="A1" t="s">
        <v>0</v>
      </c>
      <c r="B1" t="s">
        <v>1</v>
      </c>
      <c r="C1" t="s">
        <v>2</v>
      </c>
      <c r="D1" t="s">
        <v>3</v>
      </c>
    </row>
    <row r="2" spans="1:4" x14ac:dyDescent="0.3">
      <c r="A2" s="1">
        <v>43352</v>
      </c>
      <c r="B2" s="2">
        <v>0.57980324074074074</v>
      </c>
      <c r="C2" t="s">
        <v>7</v>
      </c>
      <c r="D2" t="s">
        <v>8</v>
      </c>
    </row>
    <row r="3" spans="1:4" x14ac:dyDescent="0.3">
      <c r="A3" s="1">
        <v>43352</v>
      </c>
      <c r="B3" s="2">
        <v>0.87620370370370371</v>
      </c>
      <c r="C3" t="s">
        <v>7</v>
      </c>
      <c r="D3" t="s">
        <v>8</v>
      </c>
    </row>
    <row r="4" spans="1:4" x14ac:dyDescent="0.3">
      <c r="A4" s="1">
        <v>43407</v>
      </c>
      <c r="B4" s="2">
        <v>0.97777777777777775</v>
      </c>
      <c r="C4" t="s">
        <v>7</v>
      </c>
      <c r="D4" t="s">
        <v>8</v>
      </c>
    </row>
    <row r="5" spans="1:4" x14ac:dyDescent="0.3">
      <c r="A5" s="1">
        <v>43414</v>
      </c>
      <c r="B5" s="2">
        <v>0.58081018518518512</v>
      </c>
      <c r="C5" t="s">
        <v>7</v>
      </c>
      <c r="D5" t="s">
        <v>8</v>
      </c>
    </row>
    <row r="6" spans="1:4" x14ac:dyDescent="0.3">
      <c r="A6" s="1">
        <v>43415</v>
      </c>
      <c r="B6" s="2">
        <v>0.31346064814814817</v>
      </c>
      <c r="C6" t="s">
        <v>7</v>
      </c>
      <c r="D6" t="s">
        <v>8</v>
      </c>
    </row>
    <row r="7" spans="1:4" x14ac:dyDescent="0.3">
      <c r="A7" s="1">
        <v>43415</v>
      </c>
      <c r="B7" s="2">
        <v>0.31873842592592594</v>
      </c>
      <c r="C7" t="s">
        <v>7</v>
      </c>
      <c r="D7" t="s">
        <v>8</v>
      </c>
    </row>
    <row r="8" spans="1:4" x14ac:dyDescent="0.3">
      <c r="A8" s="1">
        <v>43415</v>
      </c>
      <c r="B8" s="2">
        <v>0.31905092592592593</v>
      </c>
      <c r="C8" t="s">
        <v>7</v>
      </c>
      <c r="D8" t="s">
        <v>8</v>
      </c>
    </row>
    <row r="9" spans="1:4" x14ac:dyDescent="0.3">
      <c r="A9" s="1">
        <v>43415</v>
      </c>
      <c r="B9" s="2">
        <v>0.31960648148148146</v>
      </c>
      <c r="C9" t="s">
        <v>7</v>
      </c>
      <c r="D9" t="s">
        <v>8</v>
      </c>
    </row>
    <row r="10" spans="1:4" x14ac:dyDescent="0.3">
      <c r="A10" s="1">
        <v>43415</v>
      </c>
      <c r="B10" s="2">
        <v>0.31994212962962965</v>
      </c>
      <c r="C10" t="s">
        <v>7</v>
      </c>
      <c r="D10" t="s">
        <v>8</v>
      </c>
    </row>
    <row r="11" spans="1:4" x14ac:dyDescent="0.3">
      <c r="A11" s="1">
        <v>44024</v>
      </c>
      <c r="B11" s="2">
        <v>0.59721064814814817</v>
      </c>
      <c r="C11" t="s">
        <v>56</v>
      </c>
      <c r="D11" t="s">
        <v>57</v>
      </c>
    </row>
    <row r="12" spans="1:4" x14ac:dyDescent="0.3">
      <c r="A12" s="1">
        <v>44027</v>
      </c>
      <c r="B12" s="2">
        <v>0.4251388888888889</v>
      </c>
      <c r="C12" t="s">
        <v>56</v>
      </c>
      <c r="D12" t="s">
        <v>57</v>
      </c>
    </row>
    <row r="13" spans="1:4" x14ac:dyDescent="0.3">
      <c r="A13" s="1">
        <v>44272</v>
      </c>
      <c r="B13" s="2">
        <v>0.59487268518518521</v>
      </c>
      <c r="C13" t="s">
        <v>59</v>
      </c>
      <c r="D13" t="s">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Option_Pricing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jazzi</cp:lastModifiedBy>
  <dcterms:created xsi:type="dcterms:W3CDTF">2018-07-30T15:58:40Z</dcterms:created>
  <dcterms:modified xsi:type="dcterms:W3CDTF">2021-03-17T19:16:37Z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c59e8843-6937-4a59-ba3a-1a7cddc2c054</vt:lpwstr>
  </property>
</Properties>
</file>